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1610" activeTab="1"/>
  </bookViews>
  <sheets>
    <sheet name="Instructions" sheetId="1" r:id="rId1"/>
    <sheet name="Dataset" sheetId="2" r:id="rId2"/>
  </sheets>
  <definedNames>
    <definedName name="ExternalData_1" localSheetId="1" hidden="1">Dataset!$J$3:$T$34</definedName>
  </definedNames>
  <calcPr calcId="162913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O9" i="2" l="1"/>
  <c r="O10" i="2"/>
  <c r="O11" i="2"/>
  <c r="O12" i="2"/>
  <c r="O13" i="2"/>
  <c r="O14" i="2"/>
  <c r="O15" i="2"/>
  <c r="O21" i="2"/>
  <c r="O22" i="2"/>
  <c r="O23" i="2"/>
  <c r="O24" i="2"/>
  <c r="O25" i="2"/>
  <c r="O26" i="2"/>
  <c r="O27" i="2"/>
  <c r="O33" i="2"/>
  <c r="O34" i="2"/>
  <c r="M4" i="2"/>
  <c r="O4" i="2" s="1"/>
  <c r="M5" i="2"/>
  <c r="O5" i="2" s="1"/>
  <c r="M6" i="2"/>
  <c r="O6" i="2" s="1"/>
  <c r="M7" i="2"/>
  <c r="O7" i="2" s="1"/>
  <c r="M8" i="2"/>
  <c r="O8" i="2" s="1"/>
  <c r="M9" i="2"/>
  <c r="M10" i="2"/>
  <c r="M11" i="2"/>
  <c r="M12" i="2"/>
  <c r="M13" i="2"/>
  <c r="M14" i="2"/>
  <c r="M15" i="2"/>
  <c r="M16" i="2"/>
  <c r="O16" i="2" s="1"/>
  <c r="M17" i="2"/>
  <c r="O17" i="2" s="1"/>
  <c r="M18" i="2"/>
  <c r="O18" i="2" s="1"/>
  <c r="M19" i="2"/>
  <c r="O19" i="2" s="1"/>
  <c r="M20" i="2"/>
  <c r="O20" i="2" s="1"/>
  <c r="M21" i="2"/>
  <c r="M22" i="2"/>
  <c r="M23" i="2"/>
  <c r="M24" i="2"/>
  <c r="M25" i="2"/>
  <c r="M26" i="2"/>
  <c r="M27" i="2"/>
  <c r="M28" i="2"/>
  <c r="O28" i="2" s="1"/>
  <c r="M29" i="2"/>
  <c r="O29" i="2" s="1"/>
  <c r="M30" i="2"/>
  <c r="O30" i="2" s="1"/>
  <c r="M31" i="2"/>
  <c r="O31" i="2" s="1"/>
  <c r="M32" i="2"/>
  <c r="O32" i="2" s="1"/>
  <c r="M33" i="2"/>
  <c r="M34" i="2"/>
</calcChain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<sst xmlns="http://schemas.openxmlformats.org/spreadsheetml/2006/main" count="328" uniqueCount="143">
  <si>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</si>
  <si>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</si>
  <si>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</si>
  <si>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</si>
  <si>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</si>
  <si>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</si>
  <si>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</si>
  <si>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</si>
  <si>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</si>
  <si>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</si>
  <si>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</si>
  <si>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</si>
  <si>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</si>
  <si>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</si>
  <si>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</si>
  <si>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</si>
  <si>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</si>
  <si>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</si>
  <si>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</si>
  <si>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</si>
  <si>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</si>
  <si>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</si>
  <si>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</si>
  <si>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</si>
  <si>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</si>
  <si>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</si>
  <si>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</si>
  <si>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</si>
  <si>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</si>
  <si>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</si>
  <si>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</si>
  <si>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</si>
  <si>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</si>
  <si>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</si>
  <si>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</si>
  <si>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</si>
  <si>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</si>
  <si>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</si>
  <si>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</si>
  <si>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</si>
  <si>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</si>
  <si>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</si>
  <si>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</si>
  <si>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</si>
  <si>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</si>
  <si>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</si>
  <si>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</si>
  <si>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</si>
  <si>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</si>
  <si>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</si>
  <si>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</si>
  <si>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</si>
  <si>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</si>
  <si>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</si>
  <si>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</si>
  <si>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</si>
  <si>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</si>
  <si>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</si>
  <si>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</si>
  <si>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</si>
  <si>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</si>
  <si>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</si>
  <si>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</si>
  <si>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</si>
  <si>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</si>
  <si>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</si>
  <si>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</si>
  <si>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</si>
  <si>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</si>
  <si>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</si>
  <si>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</si>
  <si>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</si>
  <si>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</si>
  <si>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</si>
  <si>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</si>
  <si>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</si>
  <si>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</si>
  <si>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</si>
  <si>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</si>
  <si>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</si>
  <si>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</si>
  <si>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</si>
  <si>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</si>
  <si>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</si>
  <si>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</si>
  <si>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</si>
  <si>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</si>
  <si>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</si>
  <si>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</si>
  <si>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</si>
  <si>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</si>
  <si>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</si>
  <si>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</si>
  <si>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</si>
  <si>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</si>
  <si>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</si>
  <si>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</si>
  <si>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</si>
  <si>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</si>
  <si>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</si>
  <si>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</si>
  <si>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</si>
  <si>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</si>
  <si>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</si>
  <si>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</si>
  <si>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</si>
  <si>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</si>
  <si>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</si>
  <si>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</si>
  <si>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</si>
  <si>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</si>
  <si>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</si>
  <si>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</si>
  <si>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</si>
  <si>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</si>
  <si>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Cleaned and Transformed Data Set</t>
  </si>
  <si>
    <t>Imputed Price_New</t>
  </si>
  <si>
    <t>Imputed_Catagory</t>
  </si>
  <si>
    <t>Electronicscs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</si>
  <si>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</si>
  <si>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</si>
  <si>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</si>
  <si>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</si>
  <si>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</si>
  <si>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</si>
  <si>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</si>
  <si>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</si>
  <si>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</si>
  <si>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</si>
  <si>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</si>
  <si>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</si>
  <si>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</si>
  <si>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</si>
  <si>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</si>
  <si>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Cleaned Product Name</t>
  </si>
  <si>
    <t>I worked on a dataset and performed end-to-end data preprocessing, including:</t>
  </si>
  <si>
    <t>✔ Handling missing values using logical imputation (AVERAGEIFS &amp; category-based filling)</t>
  </si>
  <si>
    <t>✔ Standardizing inconsistent text formats</t>
  </si>
  <si>
    <t>✔ Removing duplicate records</t>
  </si>
  <si>
    <t>✔ Splitting and merging columns for better structure</t>
  </si>
  <si>
    <t>✔ Applying currency and date formatting</t>
  </si>
  <si>
    <t>✔ Using conditional formatting for better data visualization</t>
  </si>
  <si>
    <t xml:space="preserve"> Completed a Data Cleaning &amp; Transformation Project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</si>
</sst>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4"/>
      <color rgb="FF000000"/>
      <name val="Calibri"/>
      <family val="2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3" borderId="1" xfId="0" applyFont="1" applyFill="1" applyBorder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/>
    </xf>
    <xf numFmtId="0" fontId="10" fillId="0" borderId="0" xfId="0" applyFont="1" applyAlignment="1"/>
    <xf numFmtId="0" fontId="0" fillId="0" borderId="2" xfId="0" applyNumberFormat="1" applyFont="1" applyBorder="1" applyAlignment="1"/>
    <xf numFmtId="0" fontId="9" fillId="0" borderId="2" xfId="0" applyNumberFormat="1" applyFont="1" applyBorder="1" applyAlignment="1"/>
    <xf numFmtId="164" fontId="0" fillId="0" borderId="2" xfId="0" applyNumberFormat="1" applyFont="1" applyBorder="1" applyAlignment="1">
      <alignment horizontal="left"/>
    </xf>
    <xf numFmtId="0" fontId="0" fillId="0" borderId="1" xfId="0" applyNumberFormat="1" applyFont="1" applyBorder="1" applyAlignment="1"/>
    <xf numFmtId="164" fontId="0" fillId="0" borderId="1" xfId="0" applyNumberFormat="1" applyFont="1" applyBorder="1" applyAlignment="1">
      <alignment horizontal="left"/>
    </xf>
    <xf numFmtId="0" fontId="11" fillId="0" borderId="0" xfId="0" applyFont="1"/>
    <xf numFmtId="0" fontId="0" fillId="0" borderId="0" xfId="0" applyFont="1" applyBorder="1" applyAlignment="1"/>
    <xf numFmtId="164" fontId="0" fillId="0" borderId="0" xfId="0" applyNumberFormat="1" applyFont="1" applyBorder="1" applyAlignment="1">
      <alignment horizontal="left"/>
    </xf>
    <xf numFmtId="0" fontId="0" fillId="4" borderId="3" xfId="0" applyFont="1" applyFill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4" fontId="0" fillId="0" borderId="8" xfId="0" applyNumberFormat="1" applyFont="1" applyBorder="1" applyAlignment="1">
      <alignment horizontal="center"/>
    </xf>
    <xf numFmtId="0" fontId="0" fillId="0" borderId="2" xfId="0" applyNumberFormat="1" applyFon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9" xfId="0" applyNumberFormat="1" applyFont="1" applyBorder="1" applyAlignment="1">
      <alignment horizontal="center"/>
    </xf>
    <xf numFmtId="0" fontId="0" fillId="0" borderId="11" xfId="0" applyNumberFormat="1" applyFont="1" applyBorder="1" applyAlignment="1">
      <alignment horizontal="center"/>
    </xf>
    <xf numFmtId="0" fontId="12" fillId="0" borderId="12" xfId="0" applyFont="1" applyBorder="1" applyAlignment="1"/>
    <xf numFmtId="0" fontId="12" fillId="0" borderId="13" xfId="0" applyFont="1" applyBorder="1" applyAlignment="1"/>
    <xf numFmtId="0" fontId="12" fillId="0" borderId="14" xfId="0" applyFont="1" applyBorder="1" applyAlignment="1"/>
    <xf numFmtId="0" fontId="8" fillId="4" borderId="4" xfId="0" applyFont="1" applyFill="1" applyBorder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&quot;₹&quot;\ #,##0.00"/>
      <alignment horizontal="left" vertical="bottom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&quot;₹&quot;\ #,##0.00"/>
      <alignment horizontal="left" vertical="bottom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auto="1"/>
        </top>
        <bottom style="medium">
          <color auto="1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2">
    <queryTableFields count="11">
      <queryTableField id="1" name="Manufacturing Date" tableColumnId="19"/>
      <queryTableField id="2" name="Country Code" tableColumnId="20"/>
      <queryTableField id="3" name="Product Name" tableColumnId="21"/>
      <queryTableField id="11" dataBound="0" tableColumnId="29"/>
      <queryTableField id="4" name="Brand Name" tableColumnId="22"/>
      <queryTableField id="10" dataBound="0" tableColumnId="28"/>
      <queryTableField id="5" name="Price ($)" tableColumnId="23"/>
      <queryTableField id="6" name="Imputed Price_New" tableColumnId="24"/>
      <queryTableField id="7" name="Quantity" tableColumnId="25"/>
      <queryTableField id="8" name="Category" tableColumnId="26"/>
      <queryTableField id="9" name="Imputed_Catagory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J3:T34" tableType="queryTable" totalsRowShown="0" headerRowDxfId="14" headerRowBorderDxfId="13" tableBorderDxfId="12" totalsRowBorderDxfId="11">
  <autoFilter ref="J3:T34"/>
  <tableColumns count="11">
    <tableColumn id="19" uniqueName="19" name="Manufacturing Date" queryTableFieldId="1" dataDxfId="10"/>
    <tableColumn id="20" uniqueName="20" name="Country Code" queryTableFieldId="2" dataDxfId="9"/>
    <tableColumn id="21" uniqueName="21" name="Product Name" queryTableFieldId="3" dataDxfId="8"/>
    <tableColumn id="29" uniqueName="29" name="Cleaned Product Name" queryTableFieldId="11" dataDxfId="7">
      <calculatedColumnFormula>PROPER(Table1_2[[#This Row],[Product Name]])</calculatedColumnFormula>
    </tableColumn>
    <tableColumn id="22" uniqueName="22" name="Brand Name" queryTableFieldId="4" dataDxfId="6"/>
    <tableColumn id="28" uniqueName="28" name="Product Brand" queryTableFieldId="10" dataDxfId="5">
      <calculatedColumnFormula>CONCATENATE(Table1_2[[#This Row],[Cleaned Product Name]], "  -  ",Table1_2[[#This Row],[Brand Name]])</calculatedColumnFormula>
    </tableColumn>
    <tableColumn id="23" uniqueName="23" name="Price ($)" queryTableFieldId="5" dataDxfId="4"/>
    <tableColumn id="24" uniqueName="24" name="Imputed Price_New" queryTableFieldId="6" dataDxfId="3"/>
    <tableColumn id="25" uniqueName="25" name="Quantity" queryTableFieldId="7" dataDxfId="2"/>
    <tableColumn id="26" uniqueName="26" name="Category" queryTableFieldId="8" dataDxfId="1"/>
    <tableColumn id="27" uniqueName="27" name="Imputed_Catagory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showGridLines="0" workbookViewId="0">
      <selection sqref="A1:M27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16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abSelected="1" topLeftCell="I1" workbookViewId="0">
      <selection activeCell="O26" sqref="O26"/>
    </sheetView>
  </sheetViews>
  <sheetFormatPr defaultColWidth="12.5703125" defaultRowHeight="15" customHeight="1" x14ac:dyDescent="0.2"/>
  <cols>
    <col min="1" max="7" width="12.5703125" customWidth="1"/>
    <col min="8" max="8" width="82.42578125" bestFit="1" customWidth="1"/>
    <col min="9" max="9" width="12.5703125" customWidth="1"/>
    <col min="10" max="10" width="23.5703125" style="12" bestFit="1" customWidth="1"/>
    <col min="11" max="11" width="18" style="12" bestFit="1" customWidth="1"/>
    <col min="12" max="12" width="18.5703125" bestFit="1" customWidth="1"/>
    <col min="13" max="13" width="24.7109375" bestFit="1" customWidth="1"/>
    <col min="14" max="14" width="16.85546875" bestFit="1" customWidth="1"/>
    <col min="15" max="15" width="24" bestFit="1" customWidth="1"/>
    <col min="16" max="16" width="20.85546875" customWidth="1"/>
    <col min="17" max="17" width="21.28515625" bestFit="1" customWidth="1"/>
    <col min="18" max="18" width="12.5703125" style="12"/>
    <col min="19" max="19" width="22.42578125" style="12" bestFit="1" customWidth="1"/>
    <col min="20" max="20" width="20.140625" style="12" bestFit="1" customWidth="1"/>
    <col min="21" max="21" width="21.28515625" style="14" customWidth="1"/>
    <col min="22" max="22" width="15.7109375" style="13" customWidth="1"/>
    <col min="23" max="23" width="16.28515625" customWidth="1"/>
    <col min="24" max="24" width="14.5703125" customWidth="1"/>
    <col min="25" max="25" width="24" bestFit="1" customWidth="1"/>
    <col min="26" max="26" width="10.7109375" style="15" customWidth="1"/>
    <col min="27" max="27" width="21.28515625" style="15" customWidth="1"/>
    <col min="28" max="28" width="10.85546875" customWidth="1"/>
    <col min="29" max="29" width="11.42578125" customWidth="1"/>
    <col min="30" max="30" width="20.140625" customWidth="1"/>
  </cols>
  <sheetData>
    <row r="1" spans="1:27" ht="15.75" customHeight="1" thickBot="1" x14ac:dyDescent="0.3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J1" s="25"/>
      <c r="K1" s="41" t="s">
        <v>115</v>
      </c>
      <c r="L1" s="41"/>
      <c r="M1" s="41"/>
      <c r="N1" s="41"/>
      <c r="O1" s="41"/>
      <c r="P1" s="41"/>
      <c r="Q1" s="41"/>
      <c r="R1" s="41"/>
      <c r="S1" s="41"/>
      <c r="T1" s="33"/>
    </row>
    <row r="2" spans="1:27" ht="15.75" customHeight="1" x14ac:dyDescent="0.2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  <c r="J2" s="26"/>
      <c r="K2" s="27"/>
      <c r="L2" s="23"/>
      <c r="M2" s="23"/>
      <c r="N2" s="23"/>
      <c r="O2" s="23"/>
      <c r="P2" s="24"/>
      <c r="Q2" s="24"/>
      <c r="R2" s="34"/>
      <c r="S2" s="34"/>
      <c r="T2" s="35"/>
    </row>
    <row r="3" spans="1:27" ht="15.75" customHeight="1" x14ac:dyDescent="0.2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J3" s="28" t="s">
        <v>119</v>
      </c>
      <c r="K3" s="29" t="s">
        <v>120</v>
      </c>
      <c r="L3" s="17" t="s">
        <v>20</v>
      </c>
      <c r="M3" s="18" t="s">
        <v>134</v>
      </c>
      <c r="N3" s="17" t="s">
        <v>21</v>
      </c>
      <c r="O3" s="18" t="s">
        <v>133</v>
      </c>
      <c r="P3" s="19" t="s">
        <v>22</v>
      </c>
      <c r="Q3" s="19" t="s">
        <v>116</v>
      </c>
      <c r="R3" s="29" t="s">
        <v>23</v>
      </c>
      <c r="S3" s="29" t="s">
        <v>24</v>
      </c>
      <c r="T3" s="36" t="s">
        <v>117</v>
      </c>
      <c r="U3"/>
      <c r="V3"/>
      <c r="Z3"/>
      <c r="AA3"/>
    </row>
    <row r="4" spans="1:27" ht="15.75" customHeight="1" x14ac:dyDescent="0.2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J4" s="30">
        <v>46050</v>
      </c>
      <c r="K4" s="31" t="s">
        <v>121</v>
      </c>
      <c r="L4" s="20" t="s">
        <v>26</v>
      </c>
      <c r="M4" s="20" t="str">
        <f>PROPER(Table1_2[[#This Row],[Product Name]])</f>
        <v>Laptop</v>
      </c>
      <c r="N4" s="20" t="s">
        <v>27</v>
      </c>
      <c r="O4" s="20" t="str">
        <f>CONCATENATE(Table1_2[[#This Row],[Cleaned Product Name]], "  -  ",Table1_2[[#This Row],[Brand Name]])</f>
        <v>Laptop  -  Dell</v>
      </c>
      <c r="P4" s="21">
        <v>1000</v>
      </c>
      <c r="Q4" s="21">
        <v>1000</v>
      </c>
      <c r="R4" s="31">
        <v>30</v>
      </c>
      <c r="S4" s="31" t="s">
        <v>28</v>
      </c>
      <c r="T4" s="37" t="s">
        <v>28</v>
      </c>
      <c r="U4"/>
      <c r="V4"/>
      <c r="Z4"/>
      <c r="AA4"/>
    </row>
    <row r="5" spans="1:27" ht="15.75" customHeight="1" thickBot="1" x14ac:dyDescent="0.25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J5" s="30">
        <v>46068</v>
      </c>
      <c r="K5" s="31" t="s">
        <v>121</v>
      </c>
      <c r="L5" s="20" t="s">
        <v>30</v>
      </c>
      <c r="M5" s="20" t="str">
        <f>PROPER(Table1_2[[#This Row],[Product Name]])</f>
        <v>Sneakers</v>
      </c>
      <c r="N5" s="20" t="s">
        <v>31</v>
      </c>
      <c r="O5" s="20" t="str">
        <f>CONCATENATE(Table1_2[[#This Row],[Cleaned Product Name]], "  -  ",Table1_2[[#This Row],[Brand Name]])</f>
        <v>Sneakers  -  Nike</v>
      </c>
      <c r="P5" s="21">
        <v>80</v>
      </c>
      <c r="Q5" s="21">
        <v>80</v>
      </c>
      <c r="R5" s="31">
        <v>15</v>
      </c>
      <c r="S5" s="31" t="s">
        <v>32</v>
      </c>
      <c r="T5" s="37" t="s">
        <v>32</v>
      </c>
      <c r="U5"/>
      <c r="V5"/>
      <c r="Z5"/>
      <c r="AA5"/>
    </row>
    <row r="6" spans="1:27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  <c r="H6" s="38" t="s">
        <v>142</v>
      </c>
      <c r="J6" s="30">
        <v>46084</v>
      </c>
      <c r="K6" s="31" t="s">
        <v>121</v>
      </c>
      <c r="L6" s="20" t="s">
        <v>34</v>
      </c>
      <c r="M6" s="20" t="str">
        <f>PROPER(Table1_2[[#This Row],[Product Name]])</f>
        <v>Coffee Maker</v>
      </c>
      <c r="N6" s="20" t="s">
        <v>35</v>
      </c>
      <c r="O6" s="20" t="str">
        <f>CONCATENATE(Table1_2[[#This Row],[Cleaned Product Name]], "  -  ",Table1_2[[#This Row],[Brand Name]])</f>
        <v>Coffee Maker  -  Keurig</v>
      </c>
      <c r="P6" s="21">
        <v>130</v>
      </c>
      <c r="Q6" s="21">
        <v>130</v>
      </c>
      <c r="R6" s="31">
        <v>40</v>
      </c>
      <c r="S6" s="31" t="s">
        <v>36</v>
      </c>
      <c r="T6" s="37" t="s">
        <v>36</v>
      </c>
      <c r="U6"/>
      <c r="V6"/>
      <c r="Z6"/>
      <c r="AA6"/>
    </row>
    <row r="7" spans="1:27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28</v>
      </c>
      <c r="H7" s="39"/>
      <c r="J7" s="30">
        <v>46123</v>
      </c>
      <c r="K7" s="31" t="s">
        <v>121</v>
      </c>
      <c r="L7" s="20" t="s">
        <v>38</v>
      </c>
      <c r="M7" s="20" t="str">
        <f>PROPER(Table1_2[[#This Row],[Product Name]])</f>
        <v>Smartphone</v>
      </c>
      <c r="N7" s="20" t="s">
        <v>39</v>
      </c>
      <c r="O7" s="20" t="str">
        <f>CONCATENATE(Table1_2[[#This Row],[Cleaned Product Name]], "  -  ",Table1_2[[#This Row],[Brand Name]])</f>
        <v>Smartphone  -  Samsung</v>
      </c>
      <c r="P7" s="21">
        <v>900</v>
      </c>
      <c r="Q7" s="21">
        <v>900</v>
      </c>
      <c r="R7" s="31">
        <v>25</v>
      </c>
      <c r="S7" s="31" t="s">
        <v>28</v>
      </c>
      <c r="T7" s="37" t="s">
        <v>28</v>
      </c>
      <c r="U7"/>
      <c r="V7"/>
      <c r="Z7"/>
      <c r="AA7"/>
    </row>
    <row r="8" spans="1:27" x14ac:dyDescent="0.25">
      <c r="A8" s="10" t="s">
        <v>46</v>
      </c>
      <c r="B8" s="10" t="s">
        <v>47</v>
      </c>
      <c r="C8" s="10" t="s">
        <v>48</v>
      </c>
      <c r="D8" s="10">
        <v>30</v>
      </c>
      <c r="E8" s="10">
        <v>5</v>
      </c>
      <c r="F8" s="10" t="s">
        <v>32</v>
      </c>
      <c r="H8" s="39" t="s">
        <v>135</v>
      </c>
      <c r="J8" s="30">
        <v>46164</v>
      </c>
      <c r="K8" s="31" t="s">
        <v>121</v>
      </c>
      <c r="L8" s="20" t="s">
        <v>41</v>
      </c>
      <c r="M8" s="20" t="str">
        <f>PROPER(Table1_2[[#This Row],[Product Name]])</f>
        <v>Backpack</v>
      </c>
      <c r="N8" s="20" t="s">
        <v>42</v>
      </c>
      <c r="O8" s="20" t="str">
        <f>CONCATENATE(Table1_2[[#This Row],[Cleaned Product Name]], "  -  ",Table1_2[[#This Row],[Brand Name]])</f>
        <v>Backpack  -  North Face</v>
      </c>
      <c r="P8" s="21">
        <v>70</v>
      </c>
      <c r="Q8" s="21">
        <v>70</v>
      </c>
      <c r="R8" s="31">
        <v>20</v>
      </c>
      <c r="S8" s="31"/>
      <c r="T8" s="37" t="s">
        <v>28</v>
      </c>
      <c r="U8"/>
      <c r="V8"/>
      <c r="Z8"/>
      <c r="AA8"/>
    </row>
    <row r="9" spans="1:27" x14ac:dyDescent="0.25">
      <c r="A9" s="11" t="s">
        <v>49</v>
      </c>
      <c r="B9" s="11" t="s">
        <v>50</v>
      </c>
      <c r="C9" s="11" t="s">
        <v>51</v>
      </c>
      <c r="D9" s="11">
        <v>90</v>
      </c>
      <c r="E9" s="11">
        <v>35</v>
      </c>
      <c r="F9" s="11" t="s">
        <v>36</v>
      </c>
      <c r="H9" s="39"/>
      <c r="J9" s="30">
        <v>46180</v>
      </c>
      <c r="K9" s="31" t="s">
        <v>122</v>
      </c>
      <c r="L9" s="20" t="s">
        <v>44</v>
      </c>
      <c r="M9" s="20" t="str">
        <f>PROPER(Table1_2[[#This Row],[Product Name]])</f>
        <v>Headphones</v>
      </c>
      <c r="N9" s="20" t="s">
        <v>45</v>
      </c>
      <c r="O9" s="20" t="str">
        <f>CONCATENATE(Table1_2[[#This Row],[Cleaned Product Name]], "  -  ",Table1_2[[#This Row],[Brand Name]])</f>
        <v>Headphones  -  Sony</v>
      </c>
      <c r="P9" s="21"/>
      <c r="Q9" s="21">
        <v>594</v>
      </c>
      <c r="R9" s="31">
        <v>45</v>
      </c>
      <c r="S9" s="31" t="s">
        <v>28</v>
      </c>
      <c r="T9" s="37" t="s">
        <v>28</v>
      </c>
      <c r="U9"/>
      <c r="V9"/>
      <c r="Z9"/>
      <c r="AA9"/>
    </row>
    <row r="10" spans="1:27" x14ac:dyDescent="0.25">
      <c r="A10" s="10" t="s">
        <v>52</v>
      </c>
      <c r="B10" s="10" t="s">
        <v>53</v>
      </c>
      <c r="C10" s="10" t="s">
        <v>54</v>
      </c>
      <c r="D10" s="10">
        <v>500</v>
      </c>
      <c r="E10" s="10">
        <v>50</v>
      </c>
      <c r="F10" s="10" t="s">
        <v>118</v>
      </c>
      <c r="H10" s="39" t="s">
        <v>136</v>
      </c>
      <c r="J10" s="30">
        <v>46222</v>
      </c>
      <c r="K10" s="31" t="s">
        <v>122</v>
      </c>
      <c r="L10" s="20" t="s">
        <v>47</v>
      </c>
      <c r="M10" s="20" t="str">
        <f>PROPER(Table1_2[[#This Row],[Product Name]])</f>
        <v>T-Shirt</v>
      </c>
      <c r="N10" s="20" t="s">
        <v>48</v>
      </c>
      <c r="O10" s="20" t="str">
        <f>CONCATENATE(Table1_2[[#This Row],[Cleaned Product Name]], "  -  ",Table1_2[[#This Row],[Brand Name]])</f>
        <v>T-Shirt  -  Adidas</v>
      </c>
      <c r="P10" s="21">
        <v>30</v>
      </c>
      <c r="Q10" s="21">
        <v>30</v>
      </c>
      <c r="R10" s="31">
        <v>5</v>
      </c>
      <c r="S10" s="31" t="s">
        <v>32</v>
      </c>
      <c r="T10" s="37" t="s">
        <v>32</v>
      </c>
      <c r="U10"/>
      <c r="V10"/>
      <c r="Z10"/>
      <c r="AA10"/>
    </row>
    <row r="11" spans="1:27" x14ac:dyDescent="0.25">
      <c r="A11" s="11" t="s">
        <v>55</v>
      </c>
      <c r="B11" s="11" t="s">
        <v>56</v>
      </c>
      <c r="C11" s="11" t="s">
        <v>57</v>
      </c>
      <c r="D11" s="11">
        <v>130</v>
      </c>
      <c r="E11" s="11">
        <v>10</v>
      </c>
      <c r="F11" s="11" t="s">
        <v>58</v>
      </c>
      <c r="H11" s="39" t="s">
        <v>137</v>
      </c>
      <c r="J11" s="30">
        <v>46257</v>
      </c>
      <c r="K11" s="31" t="s">
        <v>122</v>
      </c>
      <c r="L11" s="20" t="s">
        <v>50</v>
      </c>
      <c r="M11" s="20" t="str">
        <f>PROPER(Table1_2[[#This Row],[Product Name]])</f>
        <v>Blender</v>
      </c>
      <c r="N11" s="20" t="s">
        <v>51</v>
      </c>
      <c r="O11" s="20" t="str">
        <f>CONCATENATE(Table1_2[[#This Row],[Cleaned Product Name]], "  -  ",Table1_2[[#This Row],[Brand Name]])</f>
        <v>Blender  -  Ninja</v>
      </c>
      <c r="P11" s="21">
        <v>90</v>
      </c>
      <c r="Q11" s="21">
        <v>90</v>
      </c>
      <c r="R11" s="31">
        <v>35</v>
      </c>
      <c r="S11" s="31" t="s">
        <v>36</v>
      </c>
      <c r="T11" s="37" t="s">
        <v>36</v>
      </c>
      <c r="U11"/>
      <c r="V11"/>
      <c r="Z11"/>
      <c r="AA11"/>
    </row>
    <row r="12" spans="1:27" x14ac:dyDescent="0.25">
      <c r="A12" s="10" t="s">
        <v>59</v>
      </c>
      <c r="B12" s="10" t="s">
        <v>60</v>
      </c>
      <c r="C12" s="10" t="s">
        <v>61</v>
      </c>
      <c r="D12" s="10">
        <v>950</v>
      </c>
      <c r="E12" s="10">
        <v>25</v>
      </c>
      <c r="F12" s="10" t="s">
        <v>118</v>
      </c>
      <c r="H12" s="39" t="s">
        <v>138</v>
      </c>
      <c r="J12" s="30">
        <v>46270</v>
      </c>
      <c r="K12" s="31" t="s">
        <v>122</v>
      </c>
      <c r="L12" s="20" t="s">
        <v>53</v>
      </c>
      <c r="M12" s="20" t="str">
        <f>PROPER(Table1_2[[#This Row],[Product Name]])</f>
        <v>Tablet</v>
      </c>
      <c r="N12" s="20" t="s">
        <v>54</v>
      </c>
      <c r="O12" s="20" t="str">
        <f>CONCATENATE(Table1_2[[#This Row],[Cleaned Product Name]], "  -  ",Table1_2[[#This Row],[Brand Name]])</f>
        <v>Tablet  -  Apple</v>
      </c>
      <c r="P12" s="21">
        <v>500</v>
      </c>
      <c r="Q12" s="21">
        <v>500</v>
      </c>
      <c r="R12" s="31">
        <v>50</v>
      </c>
      <c r="S12" s="31" t="s">
        <v>28</v>
      </c>
      <c r="T12" s="37" t="s">
        <v>28</v>
      </c>
      <c r="U12"/>
      <c r="V12"/>
      <c r="Z12"/>
      <c r="AA12"/>
    </row>
    <row r="13" spans="1:27" x14ac:dyDescent="0.25">
      <c r="A13" s="11" t="s">
        <v>62</v>
      </c>
      <c r="B13" s="11" t="s">
        <v>30</v>
      </c>
      <c r="C13" s="11" t="s">
        <v>48</v>
      </c>
      <c r="D13" s="11">
        <v>90</v>
      </c>
      <c r="E13" s="11">
        <v>40</v>
      </c>
      <c r="F13" s="11"/>
      <c r="H13" s="39" t="s">
        <v>139</v>
      </c>
      <c r="J13" s="30">
        <v>46309</v>
      </c>
      <c r="K13" s="31" t="s">
        <v>122</v>
      </c>
      <c r="L13" s="20" t="s">
        <v>56</v>
      </c>
      <c r="M13" s="20" t="str">
        <f>PROPER(Table1_2[[#This Row],[Product Name]])</f>
        <v>Hiking Boots</v>
      </c>
      <c r="N13" s="20" t="s">
        <v>57</v>
      </c>
      <c r="O13" s="20" t="str">
        <f>CONCATENATE(Table1_2[[#This Row],[Cleaned Product Name]], "  -  ",Table1_2[[#This Row],[Brand Name]])</f>
        <v>Hiking Boots  -  Timberland</v>
      </c>
      <c r="P13" s="21">
        <v>130</v>
      </c>
      <c r="Q13" s="21">
        <v>130</v>
      </c>
      <c r="R13" s="31">
        <v>10</v>
      </c>
      <c r="S13" s="31" t="s">
        <v>58</v>
      </c>
      <c r="T13" s="37" t="s">
        <v>58</v>
      </c>
      <c r="U13"/>
      <c r="V13"/>
      <c r="Z13"/>
      <c r="AA13"/>
    </row>
    <row r="14" spans="1:27" x14ac:dyDescent="0.25">
      <c r="A14" s="10" t="s">
        <v>63</v>
      </c>
      <c r="B14" s="10" t="s">
        <v>34</v>
      </c>
      <c r="C14" s="10" t="s">
        <v>64</v>
      </c>
      <c r="D14" s="10">
        <v>120</v>
      </c>
      <c r="E14" s="10">
        <v>35</v>
      </c>
      <c r="F14" s="10"/>
      <c r="H14" s="39" t="s">
        <v>140</v>
      </c>
      <c r="J14" s="30">
        <v>46190</v>
      </c>
      <c r="K14" s="31" t="s">
        <v>123</v>
      </c>
      <c r="L14" s="20" t="s">
        <v>60</v>
      </c>
      <c r="M14" s="20" t="str">
        <f>PROPER(Table1_2[[#This Row],[Product Name]])</f>
        <v>Laptop</v>
      </c>
      <c r="N14" s="20" t="s">
        <v>61</v>
      </c>
      <c r="O14" s="20" t="str">
        <f>CONCATENATE(Table1_2[[#This Row],[Cleaned Product Name]], "  -  ",Table1_2[[#This Row],[Brand Name]])</f>
        <v>Laptop  -  HP</v>
      </c>
      <c r="P14" s="21">
        <v>950</v>
      </c>
      <c r="Q14" s="21">
        <v>950</v>
      </c>
      <c r="R14" s="31">
        <v>25</v>
      </c>
      <c r="S14" s="31" t="s">
        <v>28</v>
      </c>
      <c r="T14" s="37" t="s">
        <v>28</v>
      </c>
      <c r="U14"/>
      <c r="V14"/>
      <c r="Z14"/>
      <c r="AA14"/>
    </row>
    <row r="15" spans="1:27" ht="15.75" thickBot="1" x14ac:dyDescent="0.3">
      <c r="A15" s="11" t="s">
        <v>65</v>
      </c>
      <c r="B15" s="11" t="s">
        <v>66</v>
      </c>
      <c r="C15" s="11" t="s">
        <v>67</v>
      </c>
      <c r="D15" s="11">
        <v>150</v>
      </c>
      <c r="E15" s="11">
        <v>15</v>
      </c>
      <c r="F15" s="11" t="s">
        <v>28</v>
      </c>
      <c r="H15" s="40" t="s">
        <v>141</v>
      </c>
      <c r="J15" s="30">
        <v>46351</v>
      </c>
      <c r="K15" s="31" t="s">
        <v>124</v>
      </c>
      <c r="L15" s="20" t="s">
        <v>30</v>
      </c>
      <c r="M15" s="20" t="str">
        <f>PROPER(Table1_2[[#This Row],[Product Name]])</f>
        <v>Sneakers</v>
      </c>
      <c r="N15" s="20" t="s">
        <v>48</v>
      </c>
      <c r="O15" s="20" t="str">
        <f>CONCATENATE(Table1_2[[#This Row],[Cleaned Product Name]], "  -  ",Table1_2[[#This Row],[Brand Name]])</f>
        <v>Sneakers  -  Adidas</v>
      </c>
      <c r="P15" s="21">
        <v>90</v>
      </c>
      <c r="Q15" s="21">
        <v>90</v>
      </c>
      <c r="R15" s="31">
        <v>40</v>
      </c>
      <c r="S15" s="31"/>
      <c r="T15" s="37" t="s">
        <v>28</v>
      </c>
      <c r="U15"/>
      <c r="V15"/>
      <c r="Z15"/>
      <c r="AA15"/>
    </row>
    <row r="16" spans="1:27" ht="12.75" x14ac:dyDescent="0.2">
      <c r="A16" s="10" t="s">
        <v>68</v>
      </c>
      <c r="B16" s="10" t="s">
        <v>69</v>
      </c>
      <c r="C16" s="10" t="s">
        <v>70</v>
      </c>
      <c r="D16" s="10">
        <v>250</v>
      </c>
      <c r="E16" s="10">
        <v>20</v>
      </c>
      <c r="F16" s="10" t="s">
        <v>28</v>
      </c>
      <c r="J16" s="30">
        <v>46364</v>
      </c>
      <c r="K16" s="31" t="s">
        <v>125</v>
      </c>
      <c r="L16" s="20" t="s">
        <v>34</v>
      </c>
      <c r="M16" s="20" t="str">
        <f>PROPER(Table1_2[[#This Row],[Product Name]])</f>
        <v>Coffee Maker</v>
      </c>
      <c r="N16" s="20" t="s">
        <v>64</v>
      </c>
      <c r="O16" s="20" t="str">
        <f>CONCATENATE(Table1_2[[#This Row],[Cleaned Product Name]], "  -  ",Table1_2[[#This Row],[Brand Name]])</f>
        <v>Coffee Maker  -  Nespresso</v>
      </c>
      <c r="P16" s="21">
        <v>120</v>
      </c>
      <c r="Q16" s="21">
        <v>120</v>
      </c>
      <c r="R16" s="31">
        <v>35</v>
      </c>
      <c r="S16" s="31"/>
      <c r="T16" s="37" t="s">
        <v>28</v>
      </c>
      <c r="U16"/>
      <c r="V16"/>
      <c r="Z16"/>
      <c r="AA16"/>
    </row>
    <row r="17" spans="1:27" ht="12.75" x14ac:dyDescent="0.2">
      <c r="A17" s="11" t="s">
        <v>71</v>
      </c>
      <c r="B17" s="11" t="s">
        <v>72</v>
      </c>
      <c r="C17" s="11" t="s">
        <v>73</v>
      </c>
      <c r="D17" s="11">
        <v>50</v>
      </c>
      <c r="E17" s="11">
        <v>35</v>
      </c>
      <c r="F17" s="11" t="s">
        <v>74</v>
      </c>
      <c r="J17" s="30">
        <v>46071</v>
      </c>
      <c r="K17" s="31" t="s">
        <v>126</v>
      </c>
      <c r="L17" s="20" t="s">
        <v>66</v>
      </c>
      <c r="M17" s="20" t="str">
        <f>PROPER(Table1_2[[#This Row],[Product Name]])</f>
        <v>Smartwatch</v>
      </c>
      <c r="N17" s="20" t="s">
        <v>67</v>
      </c>
      <c r="O17" s="20" t="str">
        <f>CONCATENATE(Table1_2[[#This Row],[Cleaned Product Name]], "  -  ",Table1_2[[#This Row],[Brand Name]])</f>
        <v>Smartwatch  -  Fitbit</v>
      </c>
      <c r="P17" s="21">
        <v>150</v>
      </c>
      <c r="Q17" s="21">
        <v>150</v>
      </c>
      <c r="R17" s="31">
        <v>15</v>
      </c>
      <c r="S17" s="31" t="s">
        <v>28</v>
      </c>
      <c r="T17" s="37" t="s">
        <v>28</v>
      </c>
      <c r="U17"/>
      <c r="V17"/>
      <c r="Z17"/>
      <c r="AA17"/>
    </row>
    <row r="18" spans="1:27" ht="12.75" x14ac:dyDescent="0.2">
      <c r="A18" s="10" t="s">
        <v>75</v>
      </c>
      <c r="B18" s="10" t="s">
        <v>66</v>
      </c>
      <c r="C18" s="10" t="s">
        <v>76</v>
      </c>
      <c r="D18" s="10">
        <v>160</v>
      </c>
      <c r="E18" s="10">
        <v>15</v>
      </c>
      <c r="F18" s="10" t="s">
        <v>28</v>
      </c>
      <c r="J18" s="30">
        <v>46128</v>
      </c>
      <c r="K18" s="31" t="s">
        <v>127</v>
      </c>
      <c r="L18" s="20" t="s">
        <v>69</v>
      </c>
      <c r="M18" s="20" t="str">
        <f>PROPER(Table1_2[[#This Row],[Product Name]])</f>
        <v>Headphones</v>
      </c>
      <c r="N18" s="20" t="s">
        <v>70</v>
      </c>
      <c r="O18" s="20" t="str">
        <f>CONCATENATE(Table1_2[[#This Row],[Cleaned Product Name]], "  -  ",Table1_2[[#This Row],[Brand Name]])</f>
        <v>Headphones  -  Bose</v>
      </c>
      <c r="P18" s="21">
        <v>250</v>
      </c>
      <c r="Q18" s="21">
        <v>250</v>
      </c>
      <c r="R18" s="31">
        <v>20</v>
      </c>
      <c r="S18" s="31" t="s">
        <v>28</v>
      </c>
      <c r="T18" s="37" t="s">
        <v>28</v>
      </c>
      <c r="U18"/>
      <c r="V18"/>
      <c r="Z18"/>
      <c r="AA18"/>
    </row>
    <row r="19" spans="1:27" ht="12.75" x14ac:dyDescent="0.2">
      <c r="A19" s="11" t="s">
        <v>77</v>
      </c>
      <c r="B19" s="11" t="s">
        <v>26</v>
      </c>
      <c r="C19" s="11" t="s">
        <v>78</v>
      </c>
      <c r="D19" s="11">
        <v>980</v>
      </c>
      <c r="E19" s="11">
        <v>10</v>
      </c>
      <c r="F19" s="11" t="s">
        <v>118</v>
      </c>
      <c r="J19" s="30">
        <v>46255</v>
      </c>
      <c r="K19" s="31" t="s">
        <v>126</v>
      </c>
      <c r="L19" s="20" t="s">
        <v>72</v>
      </c>
      <c r="M19" s="20" t="str">
        <f>PROPER(Table1_2[[#This Row],[Product Name]])</f>
        <v>Laptop Bag</v>
      </c>
      <c r="N19" s="20" t="s">
        <v>73</v>
      </c>
      <c r="O19" s="20" t="str">
        <f>CONCATENATE(Table1_2[[#This Row],[Cleaned Product Name]], "  -  ",Table1_2[[#This Row],[Brand Name]])</f>
        <v>Laptop Bag  -  Samsonite</v>
      </c>
      <c r="P19" s="21">
        <v>50</v>
      </c>
      <c r="Q19" s="21">
        <v>50</v>
      </c>
      <c r="R19" s="31">
        <v>35</v>
      </c>
      <c r="S19" s="31" t="s">
        <v>74</v>
      </c>
      <c r="T19" s="37" t="s">
        <v>74</v>
      </c>
      <c r="U19"/>
      <c r="V19"/>
      <c r="Z19"/>
      <c r="AA19"/>
    </row>
    <row r="20" spans="1:27" ht="12.75" x14ac:dyDescent="0.2">
      <c r="A20" s="10" t="s">
        <v>79</v>
      </c>
      <c r="B20" s="10" t="s">
        <v>80</v>
      </c>
      <c r="C20" s="10" t="s">
        <v>81</v>
      </c>
      <c r="D20" s="10">
        <v>150</v>
      </c>
      <c r="E20" s="10">
        <v>15</v>
      </c>
      <c r="F20" s="10" t="s">
        <v>32</v>
      </c>
      <c r="J20" s="30">
        <v>46254</v>
      </c>
      <c r="K20" s="31" t="s">
        <v>128</v>
      </c>
      <c r="L20" s="20" t="s">
        <v>66</v>
      </c>
      <c r="M20" s="20" t="str">
        <f>PROPER(Table1_2[[#This Row],[Product Name]])</f>
        <v>Smartwatch</v>
      </c>
      <c r="N20" s="20" t="s">
        <v>76</v>
      </c>
      <c r="O20" s="20" t="str">
        <f>CONCATENATE(Table1_2[[#This Row],[Cleaned Product Name]], "  -  ",Table1_2[[#This Row],[Brand Name]])</f>
        <v>Smartwatch  -  Huawei</v>
      </c>
      <c r="P20" s="21">
        <v>160</v>
      </c>
      <c r="Q20" s="21">
        <v>160</v>
      </c>
      <c r="R20" s="31">
        <v>15</v>
      </c>
      <c r="S20" s="31" t="s">
        <v>28</v>
      </c>
      <c r="T20" s="37" t="s">
        <v>28</v>
      </c>
      <c r="U20"/>
      <c r="V20"/>
      <c r="Z20"/>
      <c r="AA20"/>
    </row>
    <row r="21" spans="1:27" ht="12.75" x14ac:dyDescent="0.2">
      <c r="A21" s="11" t="s">
        <v>82</v>
      </c>
      <c r="B21" s="11" t="s">
        <v>83</v>
      </c>
      <c r="C21" s="11" t="s">
        <v>84</v>
      </c>
      <c r="D21" s="11"/>
      <c r="E21" s="11">
        <v>10</v>
      </c>
      <c r="F21" s="11" t="s">
        <v>58</v>
      </c>
      <c r="J21" s="30">
        <v>46049</v>
      </c>
      <c r="K21" s="31" t="s">
        <v>129</v>
      </c>
      <c r="L21" s="20" t="s">
        <v>26</v>
      </c>
      <c r="M21" s="20" t="str">
        <f>PROPER(Table1_2[[#This Row],[Product Name]])</f>
        <v>Laptop</v>
      </c>
      <c r="N21" s="20" t="s">
        <v>78</v>
      </c>
      <c r="O21" s="20" t="str">
        <f>CONCATENATE(Table1_2[[#This Row],[Cleaned Product Name]], "  -  ",Table1_2[[#This Row],[Brand Name]])</f>
        <v>Laptop  -  Asus</v>
      </c>
      <c r="P21" s="21">
        <v>980</v>
      </c>
      <c r="Q21" s="21">
        <v>980</v>
      </c>
      <c r="R21" s="31">
        <v>10</v>
      </c>
      <c r="S21" s="31" t="s">
        <v>28</v>
      </c>
      <c r="T21" s="37" t="s">
        <v>28</v>
      </c>
      <c r="U21"/>
      <c r="V21"/>
      <c r="Z21"/>
      <c r="AA21"/>
    </row>
    <row r="22" spans="1:27" ht="12.75" x14ac:dyDescent="0.2">
      <c r="A22" s="10" t="s">
        <v>85</v>
      </c>
      <c r="B22" s="10" t="s">
        <v>86</v>
      </c>
      <c r="C22" s="10" t="s">
        <v>87</v>
      </c>
      <c r="D22" s="10">
        <v>700</v>
      </c>
      <c r="E22" s="10">
        <v>50</v>
      </c>
      <c r="F22" s="10" t="s">
        <v>28</v>
      </c>
      <c r="J22" s="30">
        <v>46082</v>
      </c>
      <c r="K22" s="31" t="s">
        <v>122</v>
      </c>
      <c r="L22" s="20" t="s">
        <v>80</v>
      </c>
      <c r="M22" s="20" t="str">
        <f>PROPER(Table1_2[[#This Row],[Product Name]])</f>
        <v>Sunglasses</v>
      </c>
      <c r="N22" s="20" t="s">
        <v>81</v>
      </c>
      <c r="O22" s="20" t="str">
        <f>CONCATENATE(Table1_2[[#This Row],[Cleaned Product Name]], "  -  ",Table1_2[[#This Row],[Brand Name]])</f>
        <v>Sunglasses  -  Oakley</v>
      </c>
      <c r="P22" s="21">
        <v>150</v>
      </c>
      <c r="Q22" s="21">
        <v>150</v>
      </c>
      <c r="R22" s="31">
        <v>15</v>
      </c>
      <c r="S22" s="31" t="s">
        <v>32</v>
      </c>
      <c r="T22" s="37" t="s">
        <v>32</v>
      </c>
      <c r="U22"/>
      <c r="V22"/>
      <c r="Z22"/>
      <c r="AA22"/>
    </row>
    <row r="23" spans="1:27" ht="12.75" x14ac:dyDescent="0.2">
      <c r="A23" s="11" t="s">
        <v>88</v>
      </c>
      <c r="B23" s="11" t="s">
        <v>89</v>
      </c>
      <c r="C23" s="11" t="s">
        <v>90</v>
      </c>
      <c r="D23" s="11">
        <v>80</v>
      </c>
      <c r="E23" s="11">
        <v>20</v>
      </c>
      <c r="F23" s="11" t="s">
        <v>36</v>
      </c>
      <c r="J23" s="30">
        <v>46248</v>
      </c>
      <c r="K23" s="31" t="s">
        <v>121</v>
      </c>
      <c r="L23" s="20" t="s">
        <v>83</v>
      </c>
      <c r="M23" s="20" t="str">
        <f>PROPER(Table1_2[[#This Row],[Product Name]])</f>
        <v>Camping Tent</v>
      </c>
      <c r="N23" s="20" t="s">
        <v>84</v>
      </c>
      <c r="O23" s="20" t="str">
        <f>CONCATENATE(Table1_2[[#This Row],[Cleaned Product Name]], "  -  ",Table1_2[[#This Row],[Brand Name]])</f>
        <v>Camping Tent  -  Coleman</v>
      </c>
      <c r="P23" s="21"/>
      <c r="Q23" s="21">
        <v>130</v>
      </c>
      <c r="R23" s="31">
        <v>10</v>
      </c>
      <c r="S23" s="31" t="s">
        <v>58</v>
      </c>
      <c r="T23" s="37" t="s">
        <v>58</v>
      </c>
      <c r="U23"/>
      <c r="V23"/>
      <c r="Z23"/>
      <c r="AA23"/>
    </row>
    <row r="24" spans="1:27" ht="12.75" x14ac:dyDescent="0.2">
      <c r="A24" s="10" t="s">
        <v>91</v>
      </c>
      <c r="B24" s="10" t="s">
        <v>92</v>
      </c>
      <c r="C24" s="10" t="s">
        <v>93</v>
      </c>
      <c r="D24" s="10">
        <v>150</v>
      </c>
      <c r="E24" s="10">
        <v>30</v>
      </c>
      <c r="F24" s="10"/>
      <c r="J24" s="30">
        <v>46156</v>
      </c>
      <c r="K24" s="31" t="s">
        <v>130</v>
      </c>
      <c r="L24" s="20" t="s">
        <v>86</v>
      </c>
      <c r="M24" s="20" t="str">
        <f>PROPER(Table1_2[[#This Row],[Product Name]])</f>
        <v>Camera</v>
      </c>
      <c r="N24" s="20" t="s">
        <v>87</v>
      </c>
      <c r="O24" s="20" t="str">
        <f>CONCATENATE(Table1_2[[#This Row],[Cleaned Product Name]], "  -  ",Table1_2[[#This Row],[Brand Name]])</f>
        <v>Camera  -  Nikon</v>
      </c>
      <c r="P24" s="21">
        <v>700</v>
      </c>
      <c r="Q24" s="21">
        <v>700</v>
      </c>
      <c r="R24" s="31">
        <v>50</v>
      </c>
      <c r="S24" s="31" t="s">
        <v>28</v>
      </c>
      <c r="T24" s="37" t="s">
        <v>28</v>
      </c>
      <c r="U24"/>
      <c r="V24"/>
      <c r="Z24"/>
      <c r="AA24"/>
    </row>
    <row r="25" spans="1:27" ht="12.75" x14ac:dyDescent="0.2">
      <c r="A25" s="11" t="s">
        <v>71</v>
      </c>
      <c r="B25" s="11" t="s">
        <v>72</v>
      </c>
      <c r="C25" s="11" t="s">
        <v>73</v>
      </c>
      <c r="D25" s="11">
        <v>50</v>
      </c>
      <c r="E25" s="11">
        <v>35</v>
      </c>
      <c r="F25" s="11" t="s">
        <v>74</v>
      </c>
      <c r="J25" s="30">
        <v>46031</v>
      </c>
      <c r="K25" s="31" t="s">
        <v>126</v>
      </c>
      <c r="L25" s="20" t="s">
        <v>89</v>
      </c>
      <c r="M25" s="20" t="str">
        <f>PROPER(Table1_2[[#This Row],[Product Name]])</f>
        <v>Microwave</v>
      </c>
      <c r="N25" s="20" t="s">
        <v>90</v>
      </c>
      <c r="O25" s="20" t="str">
        <f>CONCATENATE(Table1_2[[#This Row],[Cleaned Product Name]], "  -  ",Table1_2[[#This Row],[Brand Name]])</f>
        <v>Microwave  -  Panasonic</v>
      </c>
      <c r="P25" s="21">
        <v>80</v>
      </c>
      <c r="Q25" s="21">
        <v>80</v>
      </c>
      <c r="R25" s="31">
        <v>20</v>
      </c>
      <c r="S25" s="31" t="s">
        <v>36</v>
      </c>
      <c r="T25" s="37" t="s">
        <v>36</v>
      </c>
      <c r="U25"/>
      <c r="V25"/>
      <c r="Z25"/>
      <c r="AA25"/>
    </row>
    <row r="26" spans="1:27" ht="12.75" x14ac:dyDescent="0.2">
      <c r="A26" s="10" t="s">
        <v>94</v>
      </c>
      <c r="B26" s="10" t="s">
        <v>95</v>
      </c>
      <c r="C26" s="10" t="s">
        <v>96</v>
      </c>
      <c r="D26" s="10">
        <v>800</v>
      </c>
      <c r="E26" s="10">
        <v>45</v>
      </c>
      <c r="F26" s="10" t="s">
        <v>118</v>
      </c>
      <c r="J26" s="30">
        <v>46222</v>
      </c>
      <c r="K26" s="31" t="s">
        <v>131</v>
      </c>
      <c r="L26" s="20" t="s">
        <v>92</v>
      </c>
      <c r="M26" s="20" t="str">
        <f>PROPER(Table1_2[[#This Row],[Product Name]])</f>
        <v>Fitness Tracker</v>
      </c>
      <c r="N26" s="20" t="s">
        <v>93</v>
      </c>
      <c r="O26" s="20" t="str">
        <f>CONCATENATE(Table1_2[[#This Row],[Cleaned Product Name]], "  -  ",Table1_2[[#This Row],[Brand Name]])</f>
        <v>Fitness Tracker  -  Xiaomi</v>
      </c>
      <c r="P26" s="21">
        <v>150</v>
      </c>
      <c r="Q26" s="21">
        <v>150</v>
      </c>
      <c r="R26" s="31">
        <v>30</v>
      </c>
      <c r="S26" s="31"/>
      <c r="T26" s="37" t="s">
        <v>28</v>
      </c>
      <c r="U26"/>
      <c r="V26"/>
      <c r="Z26"/>
      <c r="AA26"/>
    </row>
    <row r="27" spans="1:27" ht="12.75" x14ac:dyDescent="0.2">
      <c r="A27" s="11" t="s">
        <v>97</v>
      </c>
      <c r="B27" s="11" t="s">
        <v>80</v>
      </c>
      <c r="C27" s="11" t="s">
        <v>98</v>
      </c>
      <c r="D27" s="11"/>
      <c r="E27" s="11">
        <v>25</v>
      </c>
      <c r="F27" s="11" t="s">
        <v>32</v>
      </c>
      <c r="J27" s="30">
        <v>46294</v>
      </c>
      <c r="K27" s="31" t="s">
        <v>126</v>
      </c>
      <c r="L27" s="20" t="s">
        <v>95</v>
      </c>
      <c r="M27" s="20" t="str">
        <f>PROPER(Table1_2[[#This Row],[Product Name]])</f>
        <v>Smartphone</v>
      </c>
      <c r="N27" s="20" t="s">
        <v>96</v>
      </c>
      <c r="O27" s="20" t="str">
        <f>CONCATENATE(Table1_2[[#This Row],[Cleaned Product Name]], "  -  ",Table1_2[[#This Row],[Brand Name]])</f>
        <v>Smartphone  -  Google</v>
      </c>
      <c r="P27" s="21">
        <v>800</v>
      </c>
      <c r="Q27" s="21">
        <v>800</v>
      </c>
      <c r="R27" s="31">
        <v>45</v>
      </c>
      <c r="S27" s="31" t="s">
        <v>28</v>
      </c>
      <c r="T27" s="37" t="s">
        <v>28</v>
      </c>
      <c r="U27"/>
      <c r="V27"/>
      <c r="Z27"/>
      <c r="AA27"/>
    </row>
    <row r="28" spans="1:27" ht="12.75" x14ac:dyDescent="0.2">
      <c r="A28" s="10" t="s">
        <v>99</v>
      </c>
      <c r="B28" s="10" t="s">
        <v>50</v>
      </c>
      <c r="C28" s="10" t="s">
        <v>100</v>
      </c>
      <c r="D28" s="10">
        <v>400</v>
      </c>
      <c r="E28" s="10">
        <v>40</v>
      </c>
      <c r="F28" s="10" t="s">
        <v>36</v>
      </c>
      <c r="J28" s="30">
        <v>46176</v>
      </c>
      <c r="K28" s="31" t="s">
        <v>126</v>
      </c>
      <c r="L28" s="20" t="s">
        <v>80</v>
      </c>
      <c r="M28" s="20" t="str">
        <f>PROPER(Table1_2[[#This Row],[Product Name]])</f>
        <v>Sunglasses</v>
      </c>
      <c r="N28" s="20" t="s">
        <v>98</v>
      </c>
      <c r="O28" s="20" t="str">
        <f>CONCATENATE(Table1_2[[#This Row],[Cleaned Product Name]], "  -  ",Table1_2[[#This Row],[Brand Name]])</f>
        <v>Sunglasses  -  Ray-Ban</v>
      </c>
      <c r="P28" s="21"/>
      <c r="Q28" s="21">
        <v>74</v>
      </c>
      <c r="R28" s="31">
        <v>25</v>
      </c>
      <c r="S28" s="31" t="s">
        <v>32</v>
      </c>
      <c r="T28" s="37" t="s">
        <v>32</v>
      </c>
      <c r="U28"/>
      <c r="V28"/>
      <c r="Z28"/>
      <c r="AA28"/>
    </row>
    <row r="29" spans="1:27" ht="12.75" x14ac:dyDescent="0.2">
      <c r="A29" s="11" t="s">
        <v>68</v>
      </c>
      <c r="B29" s="11" t="s">
        <v>69</v>
      </c>
      <c r="C29" s="11" t="s">
        <v>70</v>
      </c>
      <c r="D29" s="11">
        <v>250</v>
      </c>
      <c r="E29" s="11">
        <v>20</v>
      </c>
      <c r="F29" s="11" t="s">
        <v>28</v>
      </c>
      <c r="J29" s="30">
        <v>46214</v>
      </c>
      <c r="K29" s="31" t="s">
        <v>126</v>
      </c>
      <c r="L29" s="20" t="s">
        <v>50</v>
      </c>
      <c r="M29" s="20" t="str">
        <f>PROPER(Table1_2[[#This Row],[Product Name]])</f>
        <v>Blender</v>
      </c>
      <c r="N29" s="20" t="s">
        <v>100</v>
      </c>
      <c r="O29" s="20" t="str">
        <f>CONCATENATE(Table1_2[[#This Row],[Cleaned Product Name]], "  -  ",Table1_2[[#This Row],[Brand Name]])</f>
        <v>Blender  -  Vitamix</v>
      </c>
      <c r="P29" s="21">
        <v>400</v>
      </c>
      <c r="Q29" s="21">
        <v>400</v>
      </c>
      <c r="R29" s="31">
        <v>40</v>
      </c>
      <c r="S29" s="31" t="s">
        <v>36</v>
      </c>
      <c r="T29" s="37" t="s">
        <v>36</v>
      </c>
      <c r="U29"/>
      <c r="V29"/>
      <c r="Z29"/>
      <c r="AA29"/>
    </row>
    <row r="30" spans="1:27" ht="12.75" x14ac:dyDescent="0.2">
      <c r="A30" s="10" t="s">
        <v>101</v>
      </c>
      <c r="B30" s="10" t="s">
        <v>102</v>
      </c>
      <c r="C30" s="10" t="s">
        <v>103</v>
      </c>
      <c r="D30" s="10">
        <v>60</v>
      </c>
      <c r="E30" s="10">
        <v>30</v>
      </c>
      <c r="F30" s="10" t="s">
        <v>32</v>
      </c>
      <c r="J30" s="30">
        <v>46088</v>
      </c>
      <c r="K30" s="31" t="s">
        <v>126</v>
      </c>
      <c r="L30" s="20" t="s">
        <v>102</v>
      </c>
      <c r="M30" s="20" t="str">
        <f>PROPER(Table1_2[[#This Row],[Product Name]])</f>
        <v>Dress</v>
      </c>
      <c r="N30" s="20" t="s">
        <v>103</v>
      </c>
      <c r="O30" s="20" t="str">
        <f>CONCATENATE(Table1_2[[#This Row],[Cleaned Product Name]], "  -  ",Table1_2[[#This Row],[Brand Name]])</f>
        <v>Dress  -  Zara</v>
      </c>
      <c r="P30" s="21">
        <v>60</v>
      </c>
      <c r="Q30" s="21">
        <v>60</v>
      </c>
      <c r="R30" s="31">
        <v>30</v>
      </c>
      <c r="S30" s="31" t="s">
        <v>32</v>
      </c>
      <c r="T30" s="37" t="s">
        <v>32</v>
      </c>
      <c r="U30"/>
      <c r="V30"/>
      <c r="Z30"/>
      <c r="AA30"/>
    </row>
    <row r="31" spans="1:27" ht="12.75" x14ac:dyDescent="0.2">
      <c r="A31" s="11" t="s">
        <v>104</v>
      </c>
      <c r="B31" s="11" t="s">
        <v>105</v>
      </c>
      <c r="C31" s="11" t="s">
        <v>106</v>
      </c>
      <c r="D31" s="11">
        <v>40</v>
      </c>
      <c r="E31" s="11">
        <v>10</v>
      </c>
      <c r="F31" s="11" t="s">
        <v>36</v>
      </c>
      <c r="J31" s="30">
        <v>46125</v>
      </c>
      <c r="K31" s="31" t="s">
        <v>126</v>
      </c>
      <c r="L31" s="20" t="s">
        <v>105</v>
      </c>
      <c r="M31" s="20" t="str">
        <f>PROPER(Table1_2[[#This Row],[Product Name]])</f>
        <v>Toaster</v>
      </c>
      <c r="N31" s="20" t="s">
        <v>106</v>
      </c>
      <c r="O31" s="20" t="str">
        <f>CONCATENATE(Table1_2[[#This Row],[Cleaned Product Name]], "  -  ",Table1_2[[#This Row],[Brand Name]])</f>
        <v>Toaster  -  Hamilton</v>
      </c>
      <c r="P31" s="21">
        <v>40</v>
      </c>
      <c r="Q31" s="21">
        <v>40</v>
      </c>
      <c r="R31" s="31">
        <v>10</v>
      </c>
      <c r="S31" s="31" t="s">
        <v>36</v>
      </c>
      <c r="T31" s="37" t="s">
        <v>36</v>
      </c>
      <c r="U31"/>
      <c r="V31"/>
      <c r="Z31"/>
      <c r="AA31"/>
    </row>
    <row r="32" spans="1:27" ht="12.75" x14ac:dyDescent="0.2">
      <c r="A32" s="10" t="s">
        <v>107</v>
      </c>
      <c r="B32" s="10" t="s">
        <v>92</v>
      </c>
      <c r="C32" s="10" t="s">
        <v>108</v>
      </c>
      <c r="D32" s="10">
        <v>130</v>
      </c>
      <c r="E32" s="10">
        <v>5</v>
      </c>
      <c r="F32" s="10" t="s">
        <v>118</v>
      </c>
      <c r="J32" s="30">
        <v>46166</v>
      </c>
      <c r="K32" s="31" t="s">
        <v>126</v>
      </c>
      <c r="L32" s="20" t="s">
        <v>92</v>
      </c>
      <c r="M32" s="20" t="str">
        <f>PROPER(Table1_2[[#This Row],[Product Name]])</f>
        <v>Fitness Tracker</v>
      </c>
      <c r="N32" s="20" t="s">
        <v>108</v>
      </c>
      <c r="O32" s="20" t="str">
        <f>CONCATENATE(Table1_2[[#This Row],[Cleaned Product Name]], "  -  ",Table1_2[[#This Row],[Brand Name]])</f>
        <v>Fitness Tracker  -  Garmin</v>
      </c>
      <c r="P32" s="21">
        <v>130</v>
      </c>
      <c r="Q32" s="21">
        <v>130</v>
      </c>
      <c r="R32" s="31">
        <v>5</v>
      </c>
      <c r="S32" s="31" t="s">
        <v>28</v>
      </c>
      <c r="T32" s="37" t="s">
        <v>28</v>
      </c>
      <c r="U32"/>
      <c r="V32"/>
      <c r="Z32"/>
      <c r="AA32"/>
    </row>
    <row r="33" spans="1:27" ht="12.75" x14ac:dyDescent="0.2">
      <c r="A33" s="11" t="s">
        <v>109</v>
      </c>
      <c r="B33" s="11" t="s">
        <v>110</v>
      </c>
      <c r="C33" s="11" t="s">
        <v>111</v>
      </c>
      <c r="D33" s="11">
        <v>50</v>
      </c>
      <c r="E33" s="11">
        <v>50</v>
      </c>
      <c r="F33" s="11" t="s">
        <v>32</v>
      </c>
      <c r="J33" s="30">
        <v>46358</v>
      </c>
      <c r="K33" s="31" t="s">
        <v>126</v>
      </c>
      <c r="L33" s="20" t="s">
        <v>110</v>
      </c>
      <c r="M33" s="20" t="str">
        <f>PROPER(Table1_2[[#This Row],[Product Name]])</f>
        <v>Jeans</v>
      </c>
      <c r="N33" s="20" t="s">
        <v>111</v>
      </c>
      <c r="O33" s="20" t="str">
        <f>CONCATENATE(Table1_2[[#This Row],[Cleaned Product Name]], "  -  ",Table1_2[[#This Row],[Brand Name]])</f>
        <v>Jeans  -  Levi's</v>
      </c>
      <c r="P33" s="21">
        <v>50</v>
      </c>
      <c r="Q33" s="21">
        <v>50</v>
      </c>
      <c r="R33" s="31">
        <v>50</v>
      </c>
      <c r="S33" s="31" t="s">
        <v>32</v>
      </c>
      <c r="T33" s="37" t="s">
        <v>32</v>
      </c>
      <c r="U33"/>
      <c r="V33"/>
      <c r="Z33"/>
      <c r="AA33"/>
    </row>
    <row r="34" spans="1:27" ht="12.75" x14ac:dyDescent="0.2">
      <c r="A34" s="10" t="s">
        <v>59</v>
      </c>
      <c r="B34" s="10" t="s">
        <v>60</v>
      </c>
      <c r="C34" s="10" t="s">
        <v>61</v>
      </c>
      <c r="D34" s="10">
        <v>950</v>
      </c>
      <c r="E34" s="10">
        <v>25</v>
      </c>
      <c r="F34" s="10" t="s">
        <v>118</v>
      </c>
      <c r="J34" s="30">
        <v>46212</v>
      </c>
      <c r="K34" s="31" t="s">
        <v>132</v>
      </c>
      <c r="L34" s="20" t="s">
        <v>113</v>
      </c>
      <c r="M34" s="20" t="str">
        <f>PROPER(Table1_2[[#This Row],[Product Name]])</f>
        <v>Watch</v>
      </c>
      <c r="N34" s="20" t="s">
        <v>114</v>
      </c>
      <c r="O34" s="20" t="str">
        <f>CONCATENATE(Table1_2[[#This Row],[Cleaned Product Name]], "  -  ",Table1_2[[#This Row],[Brand Name]])</f>
        <v>Watch  -  Casio</v>
      </c>
      <c r="P34" s="21">
        <v>100</v>
      </c>
      <c r="Q34" s="21">
        <v>100</v>
      </c>
      <c r="R34" s="31">
        <v>20</v>
      </c>
      <c r="S34" s="31" t="s">
        <v>74</v>
      </c>
      <c r="T34" s="37" t="s">
        <v>74</v>
      </c>
      <c r="U34"/>
      <c r="V34"/>
      <c r="Z34"/>
      <c r="AA34"/>
    </row>
    <row r="35" spans="1:27" ht="12.75" x14ac:dyDescent="0.2">
      <c r="A35" s="11" t="s">
        <v>112</v>
      </c>
      <c r="B35" s="11" t="s">
        <v>113</v>
      </c>
      <c r="C35" s="11" t="s">
        <v>114</v>
      </c>
      <c r="D35" s="11">
        <v>100</v>
      </c>
      <c r="E35" s="11">
        <v>20</v>
      </c>
      <c r="F35" s="11" t="s">
        <v>74</v>
      </c>
      <c r="J35"/>
      <c r="K35"/>
      <c r="R35"/>
      <c r="S35"/>
      <c r="T35"/>
      <c r="U35"/>
      <c r="V35"/>
      <c r="Z35"/>
      <c r="AA35"/>
    </row>
    <row r="36" spans="1:27" ht="12.75" x14ac:dyDescent="0.2">
      <c r="J36"/>
      <c r="K36"/>
      <c r="R36"/>
      <c r="S36"/>
      <c r="T36"/>
      <c r="U36"/>
      <c r="V36"/>
      <c r="Z36"/>
      <c r="AA36"/>
    </row>
    <row r="37" spans="1:27" ht="12.75" x14ac:dyDescent="0.2">
      <c r="J37"/>
      <c r="K37"/>
      <c r="R37"/>
      <c r="S37"/>
      <c r="T37"/>
      <c r="U37"/>
      <c r="V37"/>
      <c r="Z37"/>
      <c r="AA37"/>
    </row>
    <row r="38" spans="1:27" ht="12.75" x14ac:dyDescent="0.2">
      <c r="J38" s="32"/>
      <c r="P38" s="15"/>
      <c r="Q38" s="15"/>
      <c r="U38"/>
      <c r="V38"/>
      <c r="Z38"/>
      <c r="AA38"/>
    </row>
    <row r="39" spans="1:27" ht="12.75" x14ac:dyDescent="0.2">
      <c r="U39"/>
      <c r="V39"/>
      <c r="Z39"/>
      <c r="AA39"/>
    </row>
    <row r="40" spans="1:27" ht="12.75" x14ac:dyDescent="0.2"/>
    <row r="41" spans="1:27" ht="15.75" customHeight="1" x14ac:dyDescent="0.2"/>
    <row r="42" spans="1:27" ht="15.75" customHeight="1" x14ac:dyDescent="0.2"/>
    <row r="43" spans="1:27" ht="15.75" customHeight="1" x14ac:dyDescent="0.2"/>
    <row r="44" spans="1:27" ht="15.75" customHeight="1" x14ac:dyDescent="0.2"/>
    <row r="45" spans="1:27" ht="15.75" customHeight="1" x14ac:dyDescent="0.2"/>
    <row r="46" spans="1:27" ht="15.75" customHeight="1" x14ac:dyDescent="0.2"/>
    <row r="47" spans="1:27" ht="15.75" customHeight="1" x14ac:dyDescent="0.2"/>
    <row r="48" spans="1:2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K1:S1"/>
  </mergeCells>
  <conditionalFormatting sqref="Q1:Q34 Q38:Q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{A45C152E-CB90-44A4-907C-AA17EF297D75}</x14:id>
        </ext>
      </extLst>
    </cfRule>
  </conditionalFormatting>
  <conditionalFormatting sqref="T1:T34 T38:T1048576">
    <cfRule type="cellIs" dxfId="16" priority="6" operator="equal">
      <formula>$T$18</formula>
    </cfRule>
    <cfRule type="cellIs" dxfId="15" priority="7" operator="equal">
      <formula>"""Electronics"""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5C152E-CB90-44A4-907C-AA17EF297D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Q1:Q34 Q38:Q1048576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0E95DF-8011-4779-BCEB-CE88321656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2026-03-31T16:46:25Z</dcterms:created>
  <dcterms:modified xsi:type="dcterms:W3CDTF">2026-03-31T16:46:25Z</dcterms:modified>
</cp:coreProperties>
</file>